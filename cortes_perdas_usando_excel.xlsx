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Doc_Excel\cortes_e_perdas\"/>
    </mc:Choice>
  </mc:AlternateContent>
  <xr:revisionPtr revIDLastSave="0" documentId="8_{6CB29E7D-5253-422F-BB63-24C4EC5FAE0F}" xr6:coauthVersionLast="47" xr6:coauthVersionMax="47" xr10:uidLastSave="{00000000-0000-0000-0000-000000000000}"/>
  <bookViews>
    <workbookView xWindow="-120" yWindow="-120" windowWidth="20730" windowHeight="11160" xr2:uid="{B78D3692-B8C6-4B15-8F45-5F6E6D84CCF8}"/>
  </bookViews>
  <sheets>
    <sheet name="Peso_Corte" sheetId="1" r:id="rId1"/>
    <sheet name="Supervisores" sheetId="2" r:id="rId2"/>
    <sheet name="Pivot_Table" sheetId="5" r:id="rId3"/>
  </sheets>
  <definedNames>
    <definedName name="_xlcn.WorksheetConnection_Peso_CorteA1G12" hidden="1">Peso_Corte!$A$1:$G$12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Peso_Corte!$A$1:$G$1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K2" i="1"/>
  <c r="J3" i="1"/>
  <c r="J2" i="1"/>
  <c r="K3" i="1"/>
  <c r="L3" i="1"/>
  <c r="G3" i="1"/>
  <c r="G4" i="1"/>
  <c r="G5" i="1"/>
  <c r="G6" i="1"/>
  <c r="G7" i="1"/>
  <c r="G8" i="1"/>
  <c r="G9" i="1"/>
  <c r="G10" i="1"/>
  <c r="G11" i="1"/>
  <c r="G12" i="1"/>
  <c r="F12" i="1"/>
  <c r="G2" i="1"/>
  <c r="F11" i="1"/>
  <c r="F10" i="1"/>
  <c r="F9" i="1"/>
  <c r="F8" i="1"/>
  <c r="F7" i="1"/>
  <c r="F3" i="1"/>
  <c r="F4" i="1"/>
  <c r="F5" i="1"/>
  <c r="F6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F1441F-4281-4C3C-8F78-5C627C97D1C4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3D6D49-5FE2-40C9-AAF1-053A84E67FEE}" name="WorksheetConnection_Peso_Corte!$A$1:$G$12" type="102" refreshedVersion="7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Peso_CorteA1G1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Intervalo].[Status].[All]}"/>
    <s v="{[Intervalo].[Nome_Supervisor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<sst xmlns="http://schemas.openxmlformats.org/spreadsheetml/2006/main" count="57" uniqueCount="36">
  <si>
    <t>Data</t>
  </si>
  <si>
    <t>ID_Lote</t>
  </si>
  <si>
    <t>Peso_Esperado_kg</t>
  </si>
  <si>
    <t>Peso_Real_kg</t>
  </si>
  <si>
    <t>Corte</t>
  </si>
  <si>
    <t>Embalagem</t>
  </si>
  <si>
    <t>Resfriamento</t>
  </si>
  <si>
    <t>Status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</si>
  <si>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</si>
  <si>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</si>
  <si>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</si>
  <si>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</si>
  <si>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</si>
  <si>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</si>
  <si>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</si>
  <si>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</si>
  <si>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</si>
  <si>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</si>
  <si>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Setor</t>
  </si>
  <si>
    <t>Maria</t>
  </si>
  <si>
    <t>Carlos</t>
  </si>
  <si>
    <t>João</t>
  </si>
  <si>
    <t>Nome_Supervisor</t>
  </si>
  <si>
    <t>id_11</t>
  </si>
  <si>
    <t>Média</t>
  </si>
  <si>
    <t>Mediana</t>
  </si>
  <si>
    <t>Peso_Total</t>
  </si>
  <si>
    <t>Rótulos de Linha</t>
  </si>
  <si>
    <t>Total Geral</t>
  </si>
  <si>
    <t>All</t>
  </si>
  <si>
    <t>Média Peso Esperado</t>
  </si>
  <si>
    <t>Mediana_Real</t>
  </si>
  <si>
    <t>Mediana_Esperada</t>
  </si>
  <si>
    <t>Total Peso Esperado</t>
  </si>
  <si>
    <t>Total Peso Real</t>
  </si>
  <si>
    <t>Média Peso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</si>
</sst>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1" xfId="0" applyBorder="1"/>
    <xf numFmtId="0" fontId="0" fillId="0" borderId="0" xfId="0" applyBorder="1"/>
    <xf numFmtId="0" fontId="1" fillId="0" borderId="2" xfId="0" applyFont="1" applyBorder="1"/>
    <xf numFmtId="0" fontId="1" fillId="0" borderId="1" xfId="0" applyFont="1" applyBorder="1"/>
    <xf numFmtId="2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086.834732407406" backgroundQuery="1" createdVersion="7" refreshedVersion="7" minRefreshableVersion="3" recordCount="0" supportSubquery="1" supportAdvancedDrill="1" xr:uid="{C308BEA9-88E5-4B68-9019-06871D4C2217}">
  <cacheSource type="external" connectionId="1"/>
  <cacheFields count="9">
    <cacheField name="[Intervalo].[Setor].[Setor]" caption="Setor" numFmtId="0" hierarchy="2" level="1">
      <sharedItems count="3">
        <s v="Corte"/>
        <s v="Embalagem"/>
        <s v="Resfriamento"/>
      </sharedItems>
      <extLst>
        <ext xmlns:x15="http://schemas.microsoft.com/office/spreadsheetml/2010/11/main" uri="{4F2E5C28-24EA-4eb8-9CBF-B6C8F9C3D259}">
          <x15:cachedUniqueNames>
            <x15:cachedUniqueName index="0" name="[Intervalo].[Setor].&amp;[Corte]"/>
            <x15:cachedUniqueName index="1" name="[Intervalo].[Setor].&amp;[Embalagem]"/>
            <x15:cachedUniqueName index="2" name="[Intervalo].[Setor].&amp;[Resfriamento]"/>
          </x15:cachedUniqueNames>
        </ext>
      </extLst>
    </cacheField>
    <cacheField name="[Measures].[Soma de Peso_Esperado_kg]" caption="Soma de Peso_Esperado_kg" numFmtId="0" hierarchy="11" level="32767"/>
    <cacheField name="[Measures].[Soma de Peso_Real_kg]" caption="Soma de Peso_Real_kg" numFmtId="0" hierarchy="12" level="32767"/>
    <cacheField name="[Measures].[Média de Peso_Esperado_kg]" caption="Média de Peso_Esperado_kg" numFmtId="0" hierarchy="13" level="32767"/>
    <cacheField name="[Measures].[Mediana_Real]" caption="Mediana_Real" numFmtId="0" hierarchy="7" level="32767"/>
    <cacheField name="[Measures].[Mediana_Esperada]" caption="Mediana_Esperada" numFmtId="0" hierarchy="8" level="32767"/>
    <cacheField name="[Measures].[Média de Peso_Real_kg]" caption="Média de Peso_Real_kg" numFmtId="0" hierarchy="14" level="32767"/>
    <cacheField name="[Intervalo].[Status].[Status]" caption="Status" numFmtId="0" hierarchy="5" level="1">
      <sharedItems containsSemiMixedTypes="0" containsNonDate="0" containsString="0"/>
    </cacheField>
    <cacheField name="[Intervalo].[Nome_Supervisor].[Nome_Supervisor]" caption="Nome_Supervisor" numFmtId="0" hierarchy="6" level="1">
      <sharedItems containsSemiMixedTypes="0" containsNonDate="0" containsString="0"/>
    </cacheField>
  </cacheFields>
  <cacheHierarchies count="15">
    <cacheHierarchy uniqueName="[Intervalo].[Data]" caption="Data" attribute="1" time="1" defaultMemberUniqueName="[Intervalo].[Data].[All]" allUniqueName="[Intervalo].[Data].[All]" dimensionUniqueName="[Intervalo]" displayFolder="" count="0" memberValueDatatype="7" unbalanced="0"/>
    <cacheHierarchy uniqueName="[Intervalo].[ID_Lote]" caption="ID_Lote" attribute="1" defaultMemberUniqueName="[Intervalo].[ID_Lote].[All]" allUniqueName="[Intervalo].[ID_Lote].[All]" dimensionUniqueName="[Intervalo]" displayFolder="" count="0" memberValueDatatype="130" unbalanced="0"/>
    <cacheHierarchy uniqueName="[Intervalo].[Setor]" caption="Setor" attribute="1" defaultMemberUniqueName="[Intervalo].[Setor].[All]" allUniqueName="[Intervalo].[Set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Peso_Esperado_kg]" caption="Peso_Esperado_kg" attribute="1" defaultMemberUniqueName="[Intervalo].[Peso_Esperado_kg].[All]" allUniqueName="[Intervalo].[Peso_Esperado_kg].[All]" dimensionUniqueName="[Intervalo]" displayFolder="" count="0" memberValueDatatype="20" unbalanced="0"/>
    <cacheHierarchy uniqueName="[Intervalo].[Peso_Real_kg]" caption="Peso_Real_kg" attribute="1" defaultMemberUniqueName="[Intervalo].[Peso_Real_kg].[All]" allUniqueName="[Intervalo].[Peso_Real_kg].[All]" dimensionUniqueName="[Intervalo]" displayFolder="" count="0" memberValueDatatype="20" unbalanced="0"/>
    <cacheHierarchy uniqueName="[Intervalo].[Status]" caption="Status" attribute="1" defaultMemberUniqueName="[Intervalo].[Status].[All]" allUniqueName="[Intervalo].[Status].[All]" dimensionUniqueName="[Intervalo]" displayFolder="" count="2" memberValueDatatype="130" unbalanced="0">
      <fieldsUsage count="2">
        <fieldUsage x="-1"/>
        <fieldUsage x="7"/>
      </fieldsUsage>
    </cacheHierarchy>
    <cacheHierarchy uniqueName="[Intervalo].[Nome_Supervisor]" caption="Nome_Supervisor" attribute="1" defaultMemberUniqueName="[Intervalo].[Nome_Supervisor].[All]" allUniqueName="[Intervalo].[Nome_Supervisor].[All]" dimensionUniqueName="[Intervalo]" displayFolder="" count="2" memberValueDatatype="130" unbalanced="0">
      <fieldsUsage count="2">
        <fieldUsage x="-1"/>
        <fieldUsage x="8"/>
      </fieldsUsage>
    </cacheHierarchy>
    <cacheHierarchy uniqueName="[Measures].[Mediana_Real]" caption="Mediana_Real" measure="1" displayFolder="" measureGroup="Intervalo" count="0" oneField="1">
      <fieldsUsage count="1">
        <fieldUsage x="4"/>
      </fieldsUsage>
    </cacheHierarchy>
    <cacheHierarchy uniqueName="[Measures].[Mediana_Esperada]" caption="Mediana_Esperada" measure="1" displayFolder="" measureGroup="Intervalo" count="0" oneField="1">
      <fieldsUsage count="1">
        <fieldUsage x="5"/>
      </fieldsUsage>
    </cacheHierarchy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Peso_Esperado_kg]" caption="Soma de Peso_Esperado_kg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eso_Real_kg]" caption="Soma de Peso_Real_kg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édia de Peso_Esperado_kg]" caption="Média de Peso_Esperado_kg" measure="1" displayFolder="" measureGroup="Interval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édia de Peso_Real_kg]" caption="Média de Peso_Real_kg" measure="1" displayFolder="" measureGroup="Interval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89AB3-14D1-49F1-8F75-0D10A5A31FB5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G8" firstHeaderRow="0" firstDataRow="1" firstDataCol="1" rowPageCount="2" colPageCount="1"/>
  <pivotFields count="9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7" hier="5" name="[Intervalo].[Status].[All]" cap="All"/>
    <pageField fld="8" hier="6" name="[Intervalo].[Nome_Supervisor].[All]" cap="All"/>
  </pageFields>
  <dataFields count="6">
    <dataField name="Total Peso Esperado" fld="1" baseField="0" baseItem="0"/>
    <dataField name="Total Peso Real" fld="2" baseField="0" baseItem="0"/>
    <dataField name="Média Peso Esperado" fld="3" subtotal="average" baseField="0" baseItem="0"/>
    <dataField name="Média Peso Real" fld="6" subtotal="average" baseField="0" baseItem="0"/>
    <dataField fld="5" subtotal="count" baseField="0" baseItem="0"/>
    <dataField fld="4" subtotal="count" baseField="0" baseItem="0"/>
  </dataFields>
  <formats count="4">
    <format dxfId="3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1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so Esperado"/>
    <pivotHierarchy dragToData="1" caption="Total Peso Real"/>
    <pivotHierarchy dragToData="1" caption="Média Peso Esperado"/>
    <pivotHierarchy dragToData="1" caption="Média Peso Real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eso_Corte!$A$1:$G$12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22F4-1C9C-4BDB-A349-9B53C2E4A0F6}">
  <dimension ref="A1:M12"/>
  <sheetViews>
    <sheetView tabSelected="1" workbookViewId="0">
      <selection activeCell="J2" sqref="J2"/>
    </sheetView>
  </sheetViews>
  <sheetFormatPr defaultRowHeight="15"/>
  <cols>
    <col min="1" max="1" width="10.7109375" bestFit="1" customWidth="1"/>
    <col min="2" max="2" width="7.28515625" bestFit="1" customWidth="1"/>
    <col min="3" max="3" width="11.28515625" bestFit="1" customWidth="1"/>
    <col min="4" max="4" width="17.42578125" bestFit="1" customWidth="1"/>
    <col min="5" max="5" width="13.140625" bestFit="1" customWidth="1"/>
    <col min="6" max="6" width="16.85546875" customWidth="1"/>
    <col min="7" max="7" width="17" bestFit="1" customWidth="1"/>
    <col min="8" max="8" width="6.85546875" customWidth="1"/>
    <col min="9" max="9" width="17.7109375" bestFit="1" customWidth="1"/>
    <col min="10" max="10" width="10.7109375" bestFit="1" customWidth="1"/>
    <col min="11" max="11" width="10.7109375" customWidth="1"/>
    <col min="12" max="13" width="10.28515625" customWidth="1"/>
  </cols>
  <sheetData>
    <row r="1" spans="1:13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7</v>
      </c>
      <c r="G1" s="1" t="s">
        <v>22</v>
      </c>
      <c r="H1" s="1"/>
      <c r="J1" s="5" t="s">
        <v>26</v>
      </c>
      <c r="K1" s="6" t="s">
        <v>24</v>
      </c>
      <c r="L1" s="5" t="s">
        <v>25</v>
      </c>
      <c r="M1" s="4"/>
    </row>
    <row r="2" spans="1:13">
      <c r="A2" s="2">
        <v>46054</v>
      </c>
      <c r="B2" t="s">
        <v>8</v>
      </c>
      <c r="C2" t="s">
        <v>4</v>
      </c>
      <c r="D2">
        <v>20</v>
      </c>
      <c r="E2">
        <v>18</v>
      </c>
      <c r="F2" t="str">
        <f>IF(E2&lt;(D2 * 0.95),"Alerta de Perda","Normal")</f>
        <v>Alerta de Perda</v>
      </c>
      <c r="G2" t="str">
        <f>_xlfn.XLOOKUP(Peso_Corte!C2,Supervisores!$A:$A,Supervisores!$B:$B,"Setor sem Supervisor",)</f>
        <v>João</v>
      </c>
      <c r="I2" s="6" t="s">
        <v>2</v>
      </c>
      <c r="J2" s="3">
        <f>SUM(D2:D12)</f>
        <v>500</v>
      </c>
      <c r="K2" s="7">
        <f>(AVERAGE(D2:D12))</f>
        <v>45.454545454545453</v>
      </c>
      <c r="L2" s="3">
        <f>(MEDIAN(D2:D12))</f>
        <v>50</v>
      </c>
      <c r="M2" s="4"/>
    </row>
    <row r="3" spans="1:13">
      <c r="A3" s="2">
        <v>46055</v>
      </c>
      <c r="B3" t="s">
        <v>9</v>
      </c>
      <c r="C3" t="s">
        <v>4</v>
      </c>
      <c r="D3">
        <v>30</v>
      </c>
      <c r="E3">
        <v>27</v>
      </c>
      <c r="F3" t="str">
        <f t="shared" ref="F3:F12" si="0">IF(E3&lt;(D3 * 0.95),"Alerta de Perda","Normal")</f>
        <v>Alerta de Perda</v>
      </c>
      <c r="G3" t="str">
        <f>_xlfn.XLOOKUP(Peso_Corte!C3,Supervisores!$A:$A,Supervisores!$B:$B,"Setor sem Supervisor",)</f>
        <v>João</v>
      </c>
      <c r="I3" s="6" t="s">
        <v>3</v>
      </c>
      <c r="J3" s="3">
        <f>SUM(E2:E12)</f>
        <v>476</v>
      </c>
      <c r="K3" s="7">
        <f>AVERAGE(E2:E12)</f>
        <v>43.272727272727273</v>
      </c>
      <c r="L3" s="3">
        <f>(MEDIAN(E2:E12))</f>
        <v>46</v>
      </c>
    </row>
    <row r="4" spans="1:13">
      <c r="A4" s="2">
        <v>46056</v>
      </c>
      <c r="B4" t="s">
        <v>10</v>
      </c>
      <c r="C4" t="s">
        <v>4</v>
      </c>
      <c r="D4">
        <v>50</v>
      </c>
      <c r="E4">
        <v>46</v>
      </c>
      <c r="F4" t="str">
        <f t="shared" si="0"/>
        <v>Alerta de Perda</v>
      </c>
      <c r="G4" t="str">
        <f>_xlfn.XLOOKUP(Peso_Corte!C4,Supervisores!$A:$A,Supervisores!$B:$B,"Setor sem Supervisor",)</f>
        <v>João</v>
      </c>
    </row>
    <row r="5" spans="1:13">
      <c r="A5" s="2">
        <v>46057</v>
      </c>
      <c r="B5" t="s">
        <v>11</v>
      </c>
      <c r="C5" t="s">
        <v>4</v>
      </c>
      <c r="D5">
        <v>50</v>
      </c>
      <c r="E5">
        <v>48</v>
      </c>
      <c r="F5" t="str">
        <f t="shared" si="0"/>
        <v>Normal</v>
      </c>
      <c r="G5" t="str">
        <f>_xlfn.XLOOKUP(Peso_Corte!C5,Supervisores!$A:$A,Supervisores!$B:$B,"Setor sem Supervisor",)</f>
        <v>João</v>
      </c>
    </row>
    <row r="6" spans="1:13">
      <c r="A6" s="2">
        <v>46058</v>
      </c>
      <c r="B6" t="s">
        <v>12</v>
      </c>
      <c r="C6" t="s">
        <v>5</v>
      </c>
      <c r="D6">
        <v>10</v>
      </c>
      <c r="E6">
        <v>9</v>
      </c>
      <c r="F6" t="str">
        <f t="shared" si="0"/>
        <v>Alerta de Perda</v>
      </c>
      <c r="G6" t="str">
        <f>_xlfn.XLOOKUP(Peso_Corte!C6,Supervisores!$A:$A,Supervisores!$B:$B,"Setor sem Supervisor",)</f>
        <v>Maria</v>
      </c>
    </row>
    <row r="7" spans="1:13">
      <c r="A7" s="2">
        <v>46059</v>
      </c>
      <c r="B7" t="s">
        <v>13</v>
      </c>
      <c r="C7" t="s">
        <v>4</v>
      </c>
      <c r="D7">
        <v>50</v>
      </c>
      <c r="E7">
        <v>49</v>
      </c>
      <c r="F7" t="str">
        <f t="shared" si="0"/>
        <v>Normal</v>
      </c>
      <c r="G7" t="str">
        <f>_xlfn.XLOOKUP(Peso_Corte!C7,Supervisores!$A:$A,Supervisores!$B:$B,"Setor sem Supervisor",)</f>
        <v>João</v>
      </c>
    </row>
    <row r="8" spans="1:13">
      <c r="A8" s="2">
        <v>46060</v>
      </c>
      <c r="B8" t="s">
        <v>14</v>
      </c>
      <c r="C8" t="s">
        <v>4</v>
      </c>
      <c r="D8">
        <v>80</v>
      </c>
      <c r="E8">
        <v>75</v>
      </c>
      <c r="F8" t="str">
        <f t="shared" si="0"/>
        <v>Alerta de Perda</v>
      </c>
      <c r="G8" t="str">
        <f>_xlfn.XLOOKUP(Peso_Corte!C8,Supervisores!$A:$A,Supervisores!$B:$B,"Setor sem Supervisor",)</f>
        <v>João</v>
      </c>
    </row>
    <row r="9" spans="1:13">
      <c r="A9" s="2">
        <v>46061</v>
      </c>
      <c r="B9" t="s">
        <v>15</v>
      </c>
      <c r="C9" t="s">
        <v>4</v>
      </c>
      <c r="D9">
        <v>20</v>
      </c>
      <c r="E9">
        <v>19</v>
      </c>
      <c r="F9" t="str">
        <f t="shared" si="0"/>
        <v>Normal</v>
      </c>
      <c r="G9" t="str">
        <f>_xlfn.XLOOKUP(Peso_Corte!C9,Supervisores!$A:$A,Supervisores!$B:$B,"Setor sem Supervisor",)</f>
        <v>João</v>
      </c>
    </row>
    <row r="10" spans="1:13">
      <c r="A10" s="2">
        <v>46062</v>
      </c>
      <c r="B10" t="s">
        <v>16</v>
      </c>
      <c r="C10" t="s">
        <v>4</v>
      </c>
      <c r="D10">
        <v>40</v>
      </c>
      <c r="E10">
        <v>37</v>
      </c>
      <c r="F10" t="str">
        <f t="shared" si="0"/>
        <v>Alerta de Perda</v>
      </c>
      <c r="G10" t="str">
        <f>_xlfn.XLOOKUP(Peso_Corte!C10,Supervisores!$A:$A,Supervisores!$B:$B,"Setor sem Supervisor",)</f>
        <v>João</v>
      </c>
    </row>
    <row r="11" spans="1:13">
      <c r="A11" s="2">
        <v>46063</v>
      </c>
      <c r="B11" t="s">
        <v>17</v>
      </c>
      <c r="C11" t="s">
        <v>4</v>
      </c>
      <c r="D11">
        <v>50</v>
      </c>
      <c r="E11">
        <v>48</v>
      </c>
      <c r="F11" t="str">
        <f t="shared" si="0"/>
        <v>Normal</v>
      </c>
      <c r="G11" t="str">
        <f>_xlfn.XLOOKUP(Peso_Corte!C11,Supervisores!$A:$A,Supervisores!$B:$B,"Setor sem Supervisor",)</f>
        <v>João</v>
      </c>
    </row>
    <row r="12" spans="1:13">
      <c r="A12" s="2">
        <v>46064</v>
      </c>
      <c r="B12" t="s">
        <v>23</v>
      </c>
      <c r="C12" t="s">
        <v>6</v>
      </c>
      <c r="D12">
        <v>100</v>
      </c>
      <c r="E12">
        <v>100</v>
      </c>
      <c r="F12" t="str">
        <f t="shared" si="0"/>
        <v>Normal</v>
      </c>
      <c r="G12" t="str">
        <f>_xlfn.XLOOKUP(Peso_Corte!C12,Supervisores!$A:$A,Supervisores!$B:$B,"Setor sem Supervisor",)</f>
        <v>Carlos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1F29-4926-49DA-9272-14907B0D45D1}">
  <dimension ref="A1:B4"/>
  <sheetViews>
    <sheetView workbookViewId="0">
      <selection activeCell="A4" sqref="A4"/>
    </sheetView>
  </sheetViews>
  <sheetFormatPr defaultRowHeight="15"/>
  <cols>
    <col min="1" max="1" width="13.140625" bestFit="1" customWidth="1"/>
    <col min="2" max="2" width="17" bestFit="1" customWidth="1"/>
  </cols>
  <sheetData>
    <row r="1" spans="1:2">
      <c r="A1" s="1" t="s">
        <v>18</v>
      </c>
      <c r="B1" t="s">
        <v>22</v>
      </c>
    </row>
    <row r="2" spans="1:2">
      <c r="A2" t="s">
        <v>4</v>
      </c>
      <c r="B2" t="s">
        <v>21</v>
      </c>
    </row>
    <row r="3" spans="1:2">
      <c r="A3" t="s">
        <v>5</v>
      </c>
      <c r="B3" t="s">
        <v>19</v>
      </c>
    </row>
    <row r="4" spans="1:2">
      <c r="A4" t="s">
        <v>6</v>
      </c>
      <c r="B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3745-07CA-4C33-A32E-422CF8331E9F}">
  <dimension ref="A1:G8"/>
  <sheetViews>
    <sheetView zoomScale="110" zoomScaleNormal="110" workbookViewId="0">
      <selection activeCell="A8" sqref="A8"/>
    </sheetView>
  </sheetViews>
  <sheetFormatPr defaultRowHeight="15"/>
  <cols>
    <col min="1" max="1" width="18" bestFit="1" customWidth="1"/>
    <col min="2" max="2" width="19" bestFit="1" customWidth="1"/>
    <col min="3" max="3" width="14.5703125" bestFit="1" customWidth="1"/>
    <col min="4" max="4" width="20.28515625" bestFit="1" customWidth="1"/>
    <col min="5" max="5" width="15.85546875" bestFit="1" customWidth="1"/>
    <col min="6" max="6" width="18.140625" bestFit="1" customWidth="1"/>
    <col min="7" max="8" width="13.85546875" bestFit="1" customWidth="1"/>
    <col min="9" max="9" width="10.7109375" bestFit="1" customWidth="1"/>
  </cols>
  <sheetData>
    <row r="1" spans="1:7">
      <c r="A1" s="8" t="s">
        <v>7</v>
      </c>
      <c r="B1" t="s" vm="1">
        <v>29</v>
      </c>
    </row>
    <row r="2" spans="1:7">
      <c r="A2" s="8" t="s">
        <v>22</v>
      </c>
      <c r="B2" t="s" vm="2">
        <v>29</v>
      </c>
    </row>
    <row r="4" spans="1:7">
      <c r="A4" s="8" t="s">
        <v>27</v>
      </c>
      <c r="B4" t="s">
        <v>33</v>
      </c>
      <c r="C4" t="s">
        <v>34</v>
      </c>
      <c r="D4" t="s">
        <v>30</v>
      </c>
      <c r="E4" t="s">
        <v>35</v>
      </c>
      <c r="F4" t="s">
        <v>32</v>
      </c>
      <c r="G4" t="s">
        <v>31</v>
      </c>
    </row>
    <row r="5" spans="1:7">
      <c r="A5" s="9" t="s">
        <v>4</v>
      </c>
      <c r="B5" s="10">
        <v>390</v>
      </c>
      <c r="C5" s="10">
        <v>367</v>
      </c>
      <c r="D5" s="11">
        <v>43.333333333333336</v>
      </c>
      <c r="E5" s="11">
        <v>40.777777777777779</v>
      </c>
      <c r="F5" s="10">
        <v>50</v>
      </c>
      <c r="G5" s="10">
        <v>46</v>
      </c>
    </row>
    <row r="6" spans="1:7">
      <c r="A6" s="9" t="s">
        <v>5</v>
      </c>
      <c r="B6" s="10">
        <v>10</v>
      </c>
      <c r="C6" s="10">
        <v>9</v>
      </c>
      <c r="D6" s="10">
        <v>10</v>
      </c>
      <c r="E6" s="10">
        <v>9</v>
      </c>
      <c r="F6" s="10">
        <v>10</v>
      </c>
      <c r="G6" s="10">
        <v>9</v>
      </c>
    </row>
    <row r="7" spans="1:7">
      <c r="A7" s="9" t="s">
        <v>6</v>
      </c>
      <c r="B7" s="10">
        <v>100</v>
      </c>
      <c r="C7" s="10">
        <v>100</v>
      </c>
      <c r="D7" s="10">
        <v>100</v>
      </c>
      <c r="E7" s="10">
        <v>100</v>
      </c>
      <c r="F7" s="10">
        <v>100</v>
      </c>
      <c r="G7" s="10">
        <v>100</v>
      </c>
    </row>
    <row r="8" spans="1:7">
      <c r="A8" s="9" t="s">
        <v>28</v>
      </c>
      <c r="B8" s="10">
        <v>500</v>
      </c>
      <c r="C8" s="10">
        <v>476</v>
      </c>
      <c r="D8" s="11">
        <v>45.454545454545453</v>
      </c>
      <c r="E8" s="11">
        <v>43.272727272727273</v>
      </c>
      <c r="F8" s="10">
        <v>50</v>
      </c>
      <c r="G8" s="10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Peso_Corte</vt:lpstr>
      <vt:lpstr>Supervisores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SIQUEIRA</dc:creator>
  <cp:lastModifiedBy>CAIO SIQUEIRA</cp:lastModifiedBy>
  <dcterms:created xsi:type="dcterms:W3CDTF">2026-03-05T19:52:04Z</dcterms:created>
  <dcterms:modified xsi:type="dcterms:W3CDTF">2026-03-06T00:12:43Z</dcterms:modified>
</cp:coreProperties>
</file>